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CATOLICA - ULTIMO\EXCEL\"/>
    </mc:Choice>
  </mc:AlternateContent>
  <xr:revisionPtr revIDLastSave="0" documentId="8_{1B9A4B75-D315-473E-9A34-D413939BF5E5}" xr6:coauthVersionLast="47" xr6:coauthVersionMax="47" xr10:uidLastSave="{00000000-0000-0000-0000-000000000000}"/>
  <bookViews>
    <workbookView xWindow="-110" yWindow="-110" windowWidth="19420" windowHeight="10300" activeTab="3" xr2:uid="{ED939F3C-4575-4B3F-986B-CB850839F860}"/>
  </bookViews>
  <sheets>
    <sheet name="Indicaciones" sheetId="1" r:id="rId1"/>
    <sheet name="Buscar" sheetId="4" r:id="rId2"/>
    <sheet name="Formulario" sheetId="2" r:id="rId3"/>
    <sheet name="Base de datos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4" l="1"/>
  <c r="G2" i="4"/>
  <c r="F2" i="4"/>
  <c r="E2" i="4"/>
  <c r="D2" i="4"/>
  <c r="C2" i="4"/>
  <c r="B2" i="4"/>
  <c r="A2" i="4"/>
</calcChain>
</file>

<file path=xl/sharedStrings.xml><?xml version="1.0" encoding="utf-8"?>
<sst xmlns="http://schemas.openxmlformats.org/spreadsheetml/2006/main" count="72" uniqueCount="39">
  <si>
    <t xml:space="preserve">Prueba 1 </t>
  </si>
  <si>
    <t>Paso 1</t>
  </si>
  <si>
    <t>Desarrollarlo en hoja de formulario</t>
  </si>
  <si>
    <t>Paso 2</t>
  </si>
  <si>
    <t>2. Utilizar los controles basicos</t>
  </si>
  <si>
    <t>Nuevo</t>
  </si>
  <si>
    <t>Registrar</t>
  </si>
  <si>
    <t>Buscar</t>
  </si>
  <si>
    <t>Desarrollar en excel utilizando VBN y macros  el siguiente formulario Iteractivo con datos y busqueda</t>
  </si>
  <si>
    <t>Reglas</t>
  </si>
  <si>
    <t>1. Guardar desde y principio e ir guardando cambios</t>
  </si>
  <si>
    <t>2. Se prohibe plagio</t>
  </si>
  <si>
    <t xml:space="preserve">3. Conversar con el companero </t>
  </si>
  <si>
    <t>4. Es responsabilida subir el archivo correcto a plataforma en tiempo correcto</t>
  </si>
  <si>
    <t>Paso 1.1</t>
  </si>
  <si>
    <t>Desarrollar en hojas diferentes  y colocar nombre que desea  a cada hoja</t>
  </si>
  <si>
    <t>Registro de producto</t>
  </si>
  <si>
    <t>Base de datos</t>
  </si>
  <si>
    <t>Debera de hacer la iteraccion entre hojas</t>
  </si>
  <si>
    <t xml:space="preserve">Guardarlo Nombre del alumno Prueba 1   Formulario </t>
  </si>
  <si>
    <t>Desarrollar un formulario para control de empresa de venta de electrodomesticos</t>
  </si>
  <si>
    <t>Llenarlo con 5 fichas de Datos</t>
  </si>
  <si>
    <t>Etiquetar cada hoja</t>
  </si>
  <si>
    <t>No de cuenta</t>
  </si>
  <si>
    <t>Nombre</t>
  </si>
  <si>
    <t>Carrera</t>
  </si>
  <si>
    <t>Telefono</t>
  </si>
  <si>
    <t>Direccion</t>
  </si>
  <si>
    <t>Pago Mensual</t>
  </si>
  <si>
    <t>Forma de Pago</t>
  </si>
  <si>
    <t>UNICAH FORMULARIO ALUMNO</t>
  </si>
  <si>
    <t xml:space="preserve">Deporte de preferencia </t>
  </si>
  <si>
    <t>REGISTRO DE DATOS</t>
  </si>
  <si>
    <t>David</t>
  </si>
  <si>
    <t>Ing. Sistemas</t>
  </si>
  <si>
    <t>Efectivo</t>
  </si>
  <si>
    <t>Futbol</t>
  </si>
  <si>
    <t>Res. Santa Cruz</t>
  </si>
  <si>
    <t>Tarjeta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</si>
</sst>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11">
    <xf numFmtId="0" fontId="0" fillId="0" borderId="0" xfId="0"/>
    <xf numFmtId="9" fontId="0" fillId="0" borderId="0" xfId="0" applyNumberFormat="1"/>
    <xf numFmtId="0" fontId="0" fillId="4" borderId="0" xfId="0" applyFill="1"/>
    <xf numFmtId="9" fontId="0" fillId="3" borderId="0" xfId="0" applyNumberFormat="1" applyFill="1"/>
    <xf numFmtId="0" fontId="0" fillId="5" borderId="0" xfId="0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6" borderId="0" xfId="0" applyFill="1"/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1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1352550</xdr:colOff>
      <xdr:row>0</xdr:row>
      <xdr:rowOff>82550</xdr:rowOff>
    </xdr:from>
    <xdr:to>
      <xdr:col>4</xdr:col>
      <xdr:colOff>1085850</xdr:colOff>
      <xdr:row>1</xdr:row>
      <xdr:rowOff>146050</xdr:rowOff>
    </xdr:to>
    <xdr:sp macro="[0]!IRA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FB1D919-9411-6331-163F-8224CF567541}"/>
            </a:ext>
          </a:extLst>
        </xdr:cNvPr>
        <xdr:cNvSpPr/>
      </xdr:nvSpPr>
      <xdr:spPr>
        <a:xfrm>
          <a:off x="5213350" y="82550"/>
          <a:ext cx="125095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</a:t>
          </a:r>
          <a:r>
            <a:rPr lang="es-ES" sz="1100" baseline="0"/>
            <a:t> a base de datos</a:t>
          </a:r>
          <a:endParaRPr lang="es-ES" sz="1100"/>
        </a:p>
      </xdr:txBody>
    </xdr:sp>
    <xdr:clientData/>
  </xdr:twoCellAnchor>
  <xdr:twoCellAnchor>
    <xdr:from>
      <xdr:col>1</xdr:col>
      <xdr:colOff>330200</xdr:colOff>
      <xdr:row>11</xdr:row>
      <xdr:rowOff>44450</xdr:rowOff>
    </xdr:from>
    <xdr:to>
      <xdr:col>2</xdr:col>
      <xdr:colOff>666750</xdr:colOff>
      <xdr:row>12</xdr:row>
      <xdr:rowOff>82550</xdr:rowOff>
    </xdr:to>
    <xdr:sp macro="[0]!limpi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A46B334-8008-73B2-ED26-8760B80967D7}"/>
            </a:ext>
          </a:extLst>
        </xdr:cNvPr>
        <xdr:cNvSpPr/>
      </xdr:nvSpPr>
      <xdr:spPr>
        <a:xfrm>
          <a:off x="1327150" y="2070100"/>
          <a:ext cx="1390650" cy="222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Limpiar</a:t>
          </a:r>
        </a:p>
      </xdr:txBody>
    </xdr:sp>
    <xdr:clientData/>
  </xdr:twoCellAnchor>
  <xdr:twoCellAnchor>
    <xdr:from>
      <xdr:col>2</xdr:col>
      <xdr:colOff>990600</xdr:colOff>
      <xdr:row>11</xdr:row>
      <xdr:rowOff>25400</xdr:rowOff>
    </xdr:from>
    <xdr:to>
      <xdr:col>3</xdr:col>
      <xdr:colOff>571500</xdr:colOff>
      <xdr:row>12</xdr:row>
      <xdr:rowOff>63500</xdr:rowOff>
    </xdr:to>
    <xdr:sp macro="[0]!AGREGARREGISTR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F22C9E5-680D-4902-84F8-5A1F77C0D65F}"/>
            </a:ext>
          </a:extLst>
        </xdr:cNvPr>
        <xdr:cNvSpPr/>
      </xdr:nvSpPr>
      <xdr:spPr>
        <a:xfrm>
          <a:off x="3041650" y="2051050"/>
          <a:ext cx="1390650" cy="222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Registrar</a:t>
          </a:r>
        </a:p>
      </xdr:txBody>
    </xdr:sp>
    <xdr:clientData/>
  </xdr:twoCellAnchor>
  <xdr:twoCellAnchor>
    <xdr:from>
      <xdr:col>3</xdr:col>
      <xdr:colOff>889000</xdr:colOff>
      <xdr:row>11</xdr:row>
      <xdr:rowOff>31750</xdr:rowOff>
    </xdr:from>
    <xdr:to>
      <xdr:col>4</xdr:col>
      <xdr:colOff>762000</xdr:colOff>
      <xdr:row>12</xdr:row>
      <xdr:rowOff>69850</xdr:rowOff>
    </xdr:to>
    <xdr:sp macro="[0]!Busc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4379811-2D29-44DC-8963-1A1D85B49C8B}"/>
            </a:ext>
          </a:extLst>
        </xdr:cNvPr>
        <xdr:cNvSpPr/>
      </xdr:nvSpPr>
      <xdr:spPr>
        <a:xfrm>
          <a:off x="4749800" y="2057400"/>
          <a:ext cx="1390650" cy="222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0</xdr:row>
      <xdr:rowOff>107950</xdr:rowOff>
    </xdr:from>
    <xdr:to>
      <xdr:col>9</xdr:col>
      <xdr:colOff>438150</xdr:colOff>
      <xdr:row>2</xdr:row>
      <xdr:rowOff>82550</xdr:rowOff>
    </xdr:to>
    <xdr:sp macro="[0]!IRA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C04E076-DAE7-8720-D358-D7616A89A9CE}"/>
            </a:ext>
          </a:extLst>
        </xdr:cNvPr>
        <xdr:cNvSpPr/>
      </xdr:nvSpPr>
      <xdr:spPr>
        <a:xfrm>
          <a:off x="8559800" y="107950"/>
          <a:ext cx="977900" cy="342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Ir a registro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9D06EB-8543-4F77-AF66-C08C76B09627}" name="Datos" displayName="Datos" ref="A1:H4" totalsRowShown="0" headerRowDxfId="0" dataDxfId="1">
  <autoFilter ref="A1:H4" xr:uid="{A99D06EB-8543-4F77-AF66-C08C76B09627}"/>
  <tableColumns count="8">
    <tableColumn id="1" xr3:uid="{060B662E-9C7C-4C6D-B70E-2A1CBA82DCF5}" name="No de cuenta" dataDxfId="9"/>
    <tableColumn id="2" xr3:uid="{B1DBE8A6-4391-4D57-BAA6-B06703D4D634}" name="Nombre" dataDxfId="8"/>
    <tableColumn id="3" xr3:uid="{1D564B75-54A0-4496-A810-784FC7AEFD7E}" name="Carrera" dataDxfId="7"/>
    <tableColumn id="4" xr3:uid="{19A7B72C-0CCB-4E55-9B77-4CFECDB0CA10}" name="Pago Mensual" dataDxfId="6"/>
    <tableColumn id="5" xr3:uid="{0182B058-7181-444B-B5B9-DC130F84DDA2}" name="Forma de Pago" dataDxfId="5"/>
    <tableColumn id="6" xr3:uid="{0F652A84-4D9E-400A-AA31-B2DAB790AE34}" name="Deporte de preferencia " dataDxfId="4"/>
    <tableColumn id="7" xr3:uid="{A9E00E5C-C0C9-4600-A0DB-7B65CAAC1233}" name="Direccion" dataDxfId="3"/>
    <tableColumn id="8" xr3:uid="{A8BF4186-3E25-4827-8847-1530323575C1}" name="Telefono" dataDxfId="2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1D150-999F-4BE6-BA3E-E78721194572}">
  <sheetPr codeName="Hoja1"/>
  <dimension ref="A1:P26"/>
  <sheetViews>
    <sheetView topLeftCell="A6" workbookViewId="0">
      <selection activeCell="A8" sqref="A8:A15"/>
    </sheetView>
  </sheetViews>
  <sheetFormatPr baseColWidth="10" defaultRowHeight="14.5" x14ac:dyDescent="0.35"/>
  <cols>
    <col min="1" max="1" width="21" customWidth="1"/>
  </cols>
  <sheetData>
    <row r="1" spans="1:16" ht="21" x14ac:dyDescent="0.5">
      <c r="A1" s="8" t="s">
        <v>0</v>
      </c>
      <c r="B1" s="8"/>
      <c r="C1" s="8"/>
      <c r="D1" s="8"/>
      <c r="E1" s="8"/>
      <c r="F1" s="8"/>
      <c r="G1" s="8"/>
      <c r="H1" s="8"/>
      <c r="K1" s="2" t="s">
        <v>9</v>
      </c>
      <c r="L1" s="2"/>
      <c r="M1" s="2"/>
      <c r="N1" s="2"/>
      <c r="O1" s="2"/>
      <c r="P1" s="2"/>
    </row>
    <row r="2" spans="1:16" x14ac:dyDescent="0.35">
      <c r="A2" s="2" t="s">
        <v>8</v>
      </c>
      <c r="B2" s="2"/>
      <c r="C2" s="2"/>
      <c r="D2" s="2"/>
      <c r="E2" s="2"/>
      <c r="F2" s="2"/>
      <c r="G2" s="2"/>
      <c r="H2" s="2"/>
      <c r="K2" s="2" t="s">
        <v>10</v>
      </c>
      <c r="L2" s="2"/>
      <c r="M2" s="2"/>
      <c r="N2" s="2"/>
      <c r="O2" s="2"/>
      <c r="P2" s="2"/>
    </row>
    <row r="3" spans="1:16" x14ac:dyDescent="0.35">
      <c r="K3" s="2" t="s">
        <v>11</v>
      </c>
      <c r="L3" s="2"/>
      <c r="M3" s="2"/>
      <c r="N3" s="2"/>
      <c r="O3" s="2"/>
      <c r="P3" s="2"/>
    </row>
    <row r="4" spans="1:16" x14ac:dyDescent="0.35">
      <c r="A4" t="s">
        <v>19</v>
      </c>
      <c r="F4" s="3">
        <v>0.2</v>
      </c>
      <c r="K4" s="2" t="s">
        <v>12</v>
      </c>
      <c r="L4" s="2"/>
      <c r="M4" s="2"/>
      <c r="N4" s="2"/>
      <c r="O4" s="2"/>
      <c r="P4" s="2"/>
    </row>
    <row r="5" spans="1:16" x14ac:dyDescent="0.35">
      <c r="A5" t="s">
        <v>20</v>
      </c>
      <c r="K5" s="2" t="s">
        <v>13</v>
      </c>
      <c r="L5" s="2"/>
      <c r="M5" s="2"/>
      <c r="N5" s="2"/>
      <c r="O5" s="2"/>
      <c r="P5" s="2"/>
    </row>
    <row r="6" spans="1:16" ht="21" x14ac:dyDescent="0.5">
      <c r="A6" s="6" t="s">
        <v>1</v>
      </c>
      <c r="B6" s="6"/>
      <c r="C6" s="6"/>
      <c r="D6" s="6"/>
      <c r="F6" s="1">
        <v>0.06</v>
      </c>
    </row>
    <row r="7" spans="1:16" x14ac:dyDescent="0.35">
      <c r="A7" s="7" t="s">
        <v>30</v>
      </c>
      <c r="B7" s="7"/>
      <c r="F7" t="s">
        <v>2</v>
      </c>
    </row>
    <row r="8" spans="1:16" x14ac:dyDescent="0.35">
      <c r="A8" t="s">
        <v>23</v>
      </c>
    </row>
    <row r="9" spans="1:16" x14ac:dyDescent="0.35">
      <c r="A9" t="s">
        <v>24</v>
      </c>
    </row>
    <row r="10" spans="1:16" x14ac:dyDescent="0.35">
      <c r="A10" t="s">
        <v>25</v>
      </c>
    </row>
    <row r="11" spans="1:16" x14ac:dyDescent="0.35">
      <c r="A11" t="s">
        <v>28</v>
      </c>
    </row>
    <row r="12" spans="1:16" x14ac:dyDescent="0.35">
      <c r="A12" t="s">
        <v>29</v>
      </c>
    </row>
    <row r="13" spans="1:16" x14ac:dyDescent="0.35">
      <c r="A13" t="s">
        <v>31</v>
      </c>
    </row>
    <row r="14" spans="1:16" x14ac:dyDescent="0.35">
      <c r="A14" t="s">
        <v>27</v>
      </c>
    </row>
    <row r="15" spans="1:16" x14ac:dyDescent="0.35">
      <c r="A15" t="s">
        <v>26</v>
      </c>
    </row>
    <row r="17" spans="1:10" ht="21" x14ac:dyDescent="0.5">
      <c r="A17" s="6" t="s">
        <v>14</v>
      </c>
      <c r="B17" s="6"/>
      <c r="C17" s="6"/>
      <c r="D17" s="6"/>
      <c r="F17" s="1">
        <v>7.0000000000000007E-2</v>
      </c>
    </row>
    <row r="18" spans="1:10" x14ac:dyDescent="0.35">
      <c r="A18" t="s">
        <v>4</v>
      </c>
      <c r="D18" t="s">
        <v>5</v>
      </c>
      <c r="E18" t="s">
        <v>6</v>
      </c>
      <c r="F18" t="s">
        <v>7</v>
      </c>
      <c r="G18" s="4"/>
      <c r="H18" s="4"/>
      <c r="I18" s="4"/>
      <c r="J18" s="4"/>
    </row>
    <row r="19" spans="1:10" x14ac:dyDescent="0.35">
      <c r="G19" s="4"/>
      <c r="H19" s="4"/>
      <c r="I19" s="4"/>
      <c r="J19" s="4"/>
    </row>
    <row r="20" spans="1:10" ht="21" x14ac:dyDescent="0.5">
      <c r="A20" s="6" t="s">
        <v>3</v>
      </c>
      <c r="B20" s="6"/>
      <c r="C20" s="6"/>
      <c r="D20" s="6"/>
      <c r="F20" s="1">
        <v>7.0000000000000007E-2</v>
      </c>
    </row>
    <row r="21" spans="1:10" x14ac:dyDescent="0.35">
      <c r="A21" t="s">
        <v>15</v>
      </c>
    </row>
    <row r="22" spans="1:10" x14ac:dyDescent="0.35">
      <c r="A22" t="s">
        <v>16</v>
      </c>
      <c r="C22" t="s">
        <v>21</v>
      </c>
    </row>
    <row r="23" spans="1:10" x14ac:dyDescent="0.35">
      <c r="A23" t="s">
        <v>17</v>
      </c>
    </row>
    <row r="24" spans="1:10" x14ac:dyDescent="0.35">
      <c r="A24" t="s">
        <v>7</v>
      </c>
    </row>
    <row r="25" spans="1:10" x14ac:dyDescent="0.35">
      <c r="A25" t="s">
        <v>18</v>
      </c>
    </row>
    <row r="26" spans="1:10" x14ac:dyDescent="0.35">
      <c r="A26" t="s">
        <v>22</v>
      </c>
    </row>
  </sheetData>
  <mergeCells count="5">
    <mergeCell ref="A6:D6"/>
    <mergeCell ref="A7:B7"/>
    <mergeCell ref="A17:D17"/>
    <mergeCell ref="A20:D20"/>
    <mergeCell ref="A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346D1-49E3-417B-A6F8-69F3A5D196D2}">
  <sheetPr codeName="Hoja2"/>
  <dimension ref="A1:H2"/>
  <sheetViews>
    <sheetView workbookViewId="0">
      <selection activeCell="H2" sqref="H2"/>
    </sheetView>
  </sheetViews>
  <sheetFormatPr baseColWidth="10" defaultRowHeight="14.5" x14ac:dyDescent="0.35"/>
  <cols>
    <col min="1" max="1" width="13.54296875" customWidth="1"/>
    <col min="3" max="3" width="14.90625" customWidth="1"/>
    <col min="4" max="4" width="18.1796875" customWidth="1"/>
    <col min="5" max="5" width="17.54296875" customWidth="1"/>
    <col min="6" max="6" width="27.90625" customWidth="1"/>
    <col min="7" max="7" width="16.26953125" customWidth="1"/>
  </cols>
  <sheetData>
    <row r="1" spans="1:8" x14ac:dyDescent="0.35">
      <c r="A1" s="10" t="s">
        <v>23</v>
      </c>
      <c r="B1" s="10" t="s">
        <v>24</v>
      </c>
      <c r="C1" s="10" t="s">
        <v>25</v>
      </c>
      <c r="D1" s="10" t="s">
        <v>28</v>
      </c>
      <c r="E1" s="10" t="s">
        <v>29</v>
      </c>
      <c r="F1" s="10" t="s">
        <v>31</v>
      </c>
      <c r="G1" s="10" t="s">
        <v>27</v>
      </c>
      <c r="H1" s="10" t="s">
        <v>26</v>
      </c>
    </row>
    <row r="2" spans="1:8" x14ac:dyDescent="0.35">
      <c r="A2">
        <f>IFERROR(VLOOKUP(Formulario!$C$4,Datos[],1,FALSE),"")</f>
        <v>2</v>
      </c>
      <c r="B2" t="str">
        <f>IFERROR(VLOOKUP(Formulario!$C$4,Datos[],2,FALSE),"")</f>
        <v>David</v>
      </c>
      <c r="C2" t="str">
        <f>IFERROR(VLOOKUP(Formulario!$C$4,Datos[],3,FALSE),"")</f>
        <v>Ing. Sistemas</v>
      </c>
      <c r="D2">
        <f>IFERROR(VLOOKUP(Formulario!$C$4,Datos[],4,FALSE),"")</f>
        <v>1000</v>
      </c>
      <c r="E2" t="str">
        <f>IFERROR(VLOOKUP(Formulario!$C$4,Datos[],5,FALSE),"")</f>
        <v>Tarjeta</v>
      </c>
      <c r="F2" t="str">
        <f>IFERROR(VLOOKUP(Formulario!$C$4,Datos[],6,FALSE),"")</f>
        <v>Futbol</v>
      </c>
      <c r="G2" t="str">
        <f>IFERROR(VLOOKUP(Formulario!$C$4,Datos[],7,FALSE),"")</f>
        <v>Res. Santa Cruz</v>
      </c>
      <c r="H2">
        <f>IFERROR(VLOOKUP(Formulario!$C$4,Datos[],8,FALSE),"")</f>
        <v>97973027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B0C7B-FC68-4818-9AA2-2EA80083E785}">
  <sheetPr codeName="Hoja3"/>
  <dimension ref="A1:I10"/>
  <sheetViews>
    <sheetView workbookViewId="0">
      <selection activeCell="E10" sqref="E10"/>
    </sheetView>
  </sheetViews>
  <sheetFormatPr baseColWidth="10" defaultRowHeight="14.5" x14ac:dyDescent="0.35"/>
  <cols>
    <col min="1" max="1" width="14.26953125" customWidth="1"/>
    <col min="2" max="2" width="15.08984375" customWidth="1"/>
    <col min="3" max="3" width="25.90625" customWidth="1"/>
    <col min="4" max="4" width="21.7265625" customWidth="1"/>
    <col min="5" max="5" width="16.26953125" customWidth="1"/>
  </cols>
  <sheetData>
    <row r="1" spans="1:9" x14ac:dyDescent="0.35">
      <c r="B1" s="7" t="s">
        <v>32</v>
      </c>
      <c r="C1" s="7"/>
      <c r="D1" s="7"/>
      <c r="E1" s="7"/>
      <c r="G1" s="5"/>
    </row>
    <row r="2" spans="1:9" x14ac:dyDescent="0.35">
      <c r="A2" s="5"/>
      <c r="B2" s="7"/>
      <c r="C2" s="7"/>
      <c r="D2" s="7"/>
      <c r="E2" s="7"/>
      <c r="F2" s="5"/>
      <c r="G2" s="5"/>
      <c r="H2" s="5"/>
      <c r="I2" s="5"/>
    </row>
    <row r="4" spans="1:9" x14ac:dyDescent="0.35">
      <c r="B4" s="5" t="s">
        <v>23</v>
      </c>
      <c r="C4" s="9">
        <v>2</v>
      </c>
      <c r="D4" s="5" t="s">
        <v>29</v>
      </c>
      <c r="E4" s="9" t="s">
        <v>38</v>
      </c>
    </row>
    <row r="6" spans="1:9" x14ac:dyDescent="0.35">
      <c r="B6" s="5" t="s">
        <v>24</v>
      </c>
      <c r="C6" s="9" t="s">
        <v>32</v>
      </c>
      <c r="D6" s="5"/>
      <c r="E6" s="9" t="s">
        <v>36</v>
      </c>
    </row>
    <row r="8" spans="1:9" x14ac:dyDescent="0.35">
      <c r="B8" s="5" t="s">
        <v>25</v>
      </c>
      <c r="C8" s="9" t="s">
        <v>34</v>
      </c>
      <c r="D8" s="5" t="s">
        <v>27</v>
      </c>
      <c r="E8" s="9" t="s">
        <v>37</v>
      </c>
    </row>
    <row r="10" spans="1:9" x14ac:dyDescent="0.35">
      <c r="B10" s="5" t="s">
        <v>28</v>
      </c>
      <c r="C10" s="9">
        <v>1000</v>
      </c>
      <c r="D10" s="5" t="s">
        <v>26</v>
      </c>
      <c r="E10" s="9">
        <v>97973027</v>
      </c>
    </row>
  </sheetData>
  <mergeCells count="1">
    <mergeCell ref="B1: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90C28-8638-471A-AA28-2A6FEA088077}">
  <sheetPr codeName="Hoja4"/>
  <dimension ref="A1:H4"/>
  <sheetViews>
    <sheetView tabSelected="1" workbookViewId="0">
      <selection activeCell="G4" sqref="G4"/>
    </sheetView>
  </sheetViews>
  <sheetFormatPr baseColWidth="10" defaultRowHeight="14.5" x14ac:dyDescent="0.35"/>
  <cols>
    <col min="1" max="1" width="14.81640625" customWidth="1"/>
    <col min="4" max="4" width="16" customWidth="1"/>
    <col min="5" max="5" width="15.81640625" customWidth="1"/>
    <col min="6" max="6" width="23.453125" customWidth="1"/>
    <col min="7" max="7" width="16.54296875" customWidth="1"/>
  </cols>
  <sheetData>
    <row r="1" spans="1:8" x14ac:dyDescent="0.35">
      <c r="A1" s="5" t="s">
        <v>23</v>
      </c>
      <c r="B1" s="5" t="s">
        <v>24</v>
      </c>
      <c r="C1" s="5" t="s">
        <v>25</v>
      </c>
      <c r="D1" s="5" t="s">
        <v>28</v>
      </c>
      <c r="E1" s="5" t="s">
        <v>29</v>
      </c>
      <c r="F1" s="5" t="s">
        <v>31</v>
      </c>
      <c r="G1" s="5" t="s">
        <v>27</v>
      </c>
      <c r="H1" s="5" t="s">
        <v>26</v>
      </c>
    </row>
    <row r="2" spans="1:8" x14ac:dyDescent="0.35">
      <c r="A2" s="5">
        <v>2</v>
      </c>
      <c r="B2" s="5" t="s">
        <v>33</v>
      </c>
      <c r="C2" s="5" t="s">
        <v>34</v>
      </c>
      <c r="D2" s="5">
        <v>1000</v>
      </c>
      <c r="E2" s="5" t="s">
        <v>38</v>
      </c>
      <c r="F2" s="5" t="s">
        <v>36</v>
      </c>
      <c r="G2" s="5" t="s">
        <v>37</v>
      </c>
      <c r="H2" s="5">
        <v>97973027</v>
      </c>
    </row>
    <row r="3" spans="1:8" x14ac:dyDescent="0.35">
      <c r="A3" s="5">
        <v>1</v>
      </c>
      <c r="B3" s="5" t="s">
        <v>33</v>
      </c>
      <c r="C3" s="5" t="s">
        <v>34</v>
      </c>
      <c r="D3" s="5">
        <v>1000</v>
      </c>
      <c r="E3" s="5" t="s">
        <v>35</v>
      </c>
      <c r="F3" s="5" t="s">
        <v>36</v>
      </c>
      <c r="G3" s="5" t="s">
        <v>37</v>
      </c>
      <c r="H3" s="5">
        <v>97973027</v>
      </c>
    </row>
    <row r="4" spans="1:8" x14ac:dyDescent="0.35">
      <c r="A4" s="5"/>
      <c r="B4" s="5"/>
      <c r="C4" s="5"/>
      <c r="D4" s="5"/>
      <c r="E4" s="5"/>
      <c r="F4" s="5"/>
      <c r="G4" s="5"/>
      <c r="H4" s="5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Indicaciones</vt:lpstr>
      <vt:lpstr>Buscar</vt:lpstr>
      <vt:lpstr>Formulario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MILVIA ESPERANZA GUERRA</dc:creator>
  <cp:lastModifiedBy>David Noe Zavala Gomez</cp:lastModifiedBy>
  <dcterms:created xsi:type="dcterms:W3CDTF">2023-11-30T03:16:37Z</dcterms:created>
  <dcterms:modified xsi:type="dcterms:W3CDTF">2025-12-03T17:38:00Z</dcterms:modified>
</cp:coreProperties>
</file>